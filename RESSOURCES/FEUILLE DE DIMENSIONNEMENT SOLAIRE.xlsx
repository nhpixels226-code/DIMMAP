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uveau dossier\Autres dossier\"/>
    </mc:Choice>
  </mc:AlternateContent>
  <xr:revisionPtr revIDLastSave="0" documentId="13_ncr:1_{5AD031A6-DBDF-41F1-972B-209FDA433E09}" xr6:coauthVersionLast="47" xr6:coauthVersionMax="47" xr10:uidLastSave="{00000000-0000-0000-0000-000000000000}"/>
  <bookViews>
    <workbookView xWindow="-120" yWindow="-120" windowWidth="24240" windowHeight="13140" xr2:uid="{51658058-8315-A640-B733-1DFC39D6E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1" l="1"/>
  <c r="B49" i="1"/>
  <c r="E65" i="1"/>
  <c r="B65" i="1"/>
  <c r="E78" i="1"/>
  <c r="E77" i="1"/>
  <c r="E76" i="1"/>
  <c r="E75" i="1"/>
  <c r="E74" i="1"/>
  <c r="E73" i="1"/>
  <c r="E72" i="1"/>
  <c r="B72" i="1"/>
  <c r="E71" i="1"/>
  <c r="E70" i="1"/>
  <c r="E69" i="1"/>
  <c r="B69" i="1"/>
  <c r="E68" i="1"/>
  <c r="E67" i="1"/>
  <c r="E66" i="1"/>
  <c r="E80" i="1" s="1"/>
  <c r="B61" i="1"/>
  <c r="B60" i="1"/>
  <c r="B59" i="1"/>
  <c r="B58" i="1"/>
  <c r="B55" i="1"/>
  <c r="B54" i="1"/>
  <c r="B51" i="1"/>
  <c r="B50" i="1"/>
  <c r="B48" i="1"/>
  <c r="B47" i="1"/>
  <c r="B46" i="1"/>
  <c r="B43" i="1"/>
  <c r="B42" i="1"/>
  <c r="B41" i="1"/>
  <c r="B40" i="1"/>
  <c r="B39" i="1"/>
  <c r="B36" i="1"/>
  <c r="E14" i="1"/>
  <c r="B14" i="1"/>
  <c r="E13" i="1"/>
  <c r="E12" i="1"/>
  <c r="E11" i="1"/>
  <c r="E10" i="1"/>
  <c r="E9" i="1"/>
  <c r="E8" i="1"/>
  <c r="E7" i="1"/>
  <c r="E6" i="1"/>
  <c r="E81" i="1" l="1"/>
  <c r="E83" i="1"/>
  <c r="E82" i="1"/>
  <c r="E85" i="1" s="1"/>
  <c r="E86" i="1" l="1"/>
  <c r="E87" i="1"/>
</calcChain>
</file>

<file path=xl/sharedStrings.xml><?xml version="1.0" encoding="utf-8"?>
<sst xmlns="http://schemas.openxmlformats.org/spreadsheetml/2006/main" count="133" uniqueCount="114">
  <si>
    <t>DIMENSIONNEMENT D'UNE INSTALLATION SOLAIRE PHOTOVOLTAÏQUE</t>
  </si>
  <si>
    <t>Saisir les valeurs en bleu — les résultats en noir se calculent automatiquement</t>
  </si>
  <si>
    <t>1. INVENTAIRE DES CHARGES (CONSOMMATION)</t>
  </si>
  <si>
    <t>Appareil</t>
  </si>
  <si>
    <t>Puissance (W)</t>
  </si>
  <si>
    <t>Quantité</t>
  </si>
  <si>
    <t>Heures/jour</t>
  </si>
  <si>
    <t>Énergie (Wh/j)</t>
  </si>
  <si>
    <t>Ampoule LED</t>
  </si>
  <si>
    <t>Téléviseur</t>
  </si>
  <si>
    <t>Réfrigérateur</t>
  </si>
  <si>
    <t>Ordinateur portable</t>
  </si>
  <si>
    <t>Ventilateur</t>
  </si>
  <si>
    <t>Pompe à eau</t>
  </si>
  <si>
    <t>Autre 1</t>
  </si>
  <si>
    <t>Autre 2</t>
  </si>
  <si>
    <t>TOTAL CONSOMMATION</t>
  </si>
  <si>
    <t>2. PARAMÈTRES DU SITE ET DU SYSTÈME</t>
  </si>
  <si>
    <t>Paramètre</t>
  </si>
  <si>
    <t>Valeur</t>
  </si>
  <si>
    <t>Unité</t>
  </si>
  <si>
    <t>Commentaire</t>
  </si>
  <si>
    <t>Irradiation solaire moyenne (le pire mois)</t>
  </si>
  <si>
    <t>kWh/m²/j</t>
  </si>
  <si>
    <t>Heures de soleil crête (HSP)</t>
  </si>
  <si>
    <t>Tension du système</t>
  </si>
  <si>
    <t>V</t>
  </si>
  <si>
    <t>12 / 24 / 48 V</t>
  </si>
  <si>
    <t>Autonomie souhaitée (jours sans soleil)</t>
  </si>
  <si>
    <t>jours</t>
  </si>
  <si>
    <t>1–3 jours selon climat</t>
  </si>
  <si>
    <t>Rendement onduleur</t>
  </si>
  <si>
    <t>%</t>
  </si>
  <si>
    <t>Typique 85–95%</t>
  </si>
  <si>
    <t>Rendement batterie (charge/décharge)</t>
  </si>
  <si>
    <t>Plomb ≈85%, Lithium ≈95%</t>
  </si>
  <si>
    <t>Pertes câblage et divers</t>
  </si>
  <si>
    <t>Rendement = 1 - pertes</t>
  </si>
  <si>
    <t>Profondeur de décharge batterie (DoD)</t>
  </si>
  <si>
    <t>Plomb 50%, Lithium 80–90%</t>
  </si>
  <si>
    <t>Coefficient de pertes panneau (temp., poussière)</t>
  </si>
  <si>
    <t>Typique 75–90%</t>
  </si>
  <si>
    <t>3. CARACTÉRISTIQUES DES ÉQUIPEMENTS</t>
  </si>
  <si>
    <t>Équipement</t>
  </si>
  <si>
    <t>Puissance unitaire d'un panneau</t>
  </si>
  <si>
    <t>Wc</t>
  </si>
  <si>
    <t>Tension nominale d'un panneau (Vmp)</t>
  </si>
  <si>
    <t>Courant nominal d'un panneau (Imp)</t>
  </si>
  <si>
    <t>A</t>
  </si>
  <si>
    <t>Capacité unitaire d'une batterie</t>
  </si>
  <si>
    <t>Ah</t>
  </si>
  <si>
    <t>Tension nominale d'une batterie</t>
  </si>
  <si>
    <t>4. RÉSULTATS DU DIMENSIONNEMENT</t>
  </si>
  <si>
    <t>Énergie corrigée (avec pertes système)</t>
  </si>
  <si>
    <t>= Conso / (ηond × ηbatt × ηcâble)</t>
  </si>
  <si>
    <t>PANNEAUX SOLAIRES</t>
  </si>
  <si>
    <t>Puissance crête totale nécessaire</t>
  </si>
  <si>
    <t>= E_corrigée / (HSP × K_pertes)</t>
  </si>
  <si>
    <t>Nombre de panneaux (arrondi supérieur)</t>
  </si>
  <si>
    <t>Nombre de panneaux en série</t>
  </si>
  <si>
    <t>= Tension système / Vmp panneau</t>
  </si>
  <si>
    <t>Nombre de chaînes en parallèle</t>
  </si>
  <si>
    <t>Puissance installée réelle</t>
  </si>
  <si>
    <t>PARC BATTERIES</t>
  </si>
  <si>
    <t>Capacité totale nécessaire</t>
  </si>
  <si>
    <t>= (Conso × Autonomie) / (Vsys × DoD × ηbatt)</t>
  </si>
  <si>
    <t>Nombre de batteries en série</t>
  </si>
  <si>
    <t>Nombre de batteries en parallèle</t>
  </si>
  <si>
    <t>Nombre total de batteries</t>
  </si>
  <si>
    <t>Capacité installée réelle</t>
  </si>
  <si>
    <t>Énergie stockée utile</t>
  </si>
  <si>
    <t>RÉGULATEUR / ONDULEUR</t>
  </si>
  <si>
    <t>Courant régulateur (avec marge 25%)</t>
  </si>
  <si>
    <t>= N_parallèle × Imp × 1,25</t>
  </si>
  <si>
    <t>Puissance onduleur (avec marge 25%)</t>
  </si>
  <si>
    <t>= Puissance simultanée × 1,25</t>
  </si>
  <si>
    <t>SYNTHÈSE</t>
  </si>
  <si>
    <t>Consommation journalière</t>
  </si>
  <si>
    <t>Puissance solaire installée</t>
  </si>
  <si>
    <t>Capacité de stockage utile</t>
  </si>
  <si>
    <t>Production journalière estimée</t>
  </si>
  <si>
    <t>5. ESTIMATION DU COÛT DE L'INSTALLATION</t>
  </si>
  <si>
    <t>Poste</t>
  </si>
  <si>
    <t>Prix unitaire</t>
  </si>
  <si>
    <t>Total</t>
  </si>
  <si>
    <t>Panneaux solaires</t>
  </si>
  <si>
    <t>panneau</t>
  </si>
  <si>
    <t>Batteries</t>
  </si>
  <si>
    <t>batterie</t>
  </si>
  <si>
    <t>Onduleur</t>
  </si>
  <si>
    <t>unité</t>
  </si>
  <si>
    <t>Régulateur de charge (MPPT)</t>
  </si>
  <si>
    <t>Structure de fixation des panneaux</t>
  </si>
  <si>
    <t>Câbles solaires (DC)</t>
  </si>
  <si>
    <t>mètre</t>
  </si>
  <si>
    <t>Câbles AC + distribution</t>
  </si>
  <si>
    <t>Connecteurs MC4 (paires)</t>
  </si>
  <si>
    <t>paire</t>
  </si>
  <si>
    <t>Coffret de protection DC (fusibles, parafoudre)</t>
  </si>
  <si>
    <t>Coffret de protection AC (disjoncteur, différentiel)</t>
  </si>
  <si>
    <t>Mise à la terre (piquet + câble)</t>
  </si>
  <si>
    <t>ensemble</t>
  </si>
  <si>
    <t>Câbles batteries + cosses</t>
  </si>
  <si>
    <t>Coffret / armoire batteries</t>
  </si>
  <si>
    <t>Petit matériel (gaines, vis, colliers, ruban)</t>
  </si>
  <si>
    <t>lot</t>
  </si>
  <si>
    <t>Sous-total matériel</t>
  </si>
  <si>
    <t>Main d'œuvre / installation</t>
  </si>
  <si>
    <t>% matériel</t>
  </si>
  <si>
    <t>Transport et logistique</t>
  </si>
  <si>
    <t>Imprévus / marge</t>
  </si>
  <si>
    <t>COÛT TOTAL DE L'INSTALLATION</t>
  </si>
  <si>
    <t>Coût par Wc installé</t>
  </si>
  <si>
    <t>Coût par kWh journalier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</si>
</sst>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&quot; W&quot;"/>
    <numFmt numFmtId="165" formatCode="#,##0&quot; Wh/j&quot;"/>
    <numFmt numFmtId="166" formatCode="0.0"/>
    <numFmt numFmtId="167" formatCode="#,##0&quot; Wc&quot;"/>
    <numFmt numFmtId="168" formatCode="0&quot; panneaux&quot;"/>
    <numFmt numFmtId="169" formatCode="#,##0&quot; Ah&quot;"/>
    <numFmt numFmtId="170" formatCode="0&quot; batteries&quot;"/>
    <numFmt numFmtId="171" formatCode="0.0&quot; kWh&quot;"/>
    <numFmt numFmtId="172" formatCode="0.0&quot; A&quot;"/>
    <numFmt numFmtId="173" formatCode="0.00&quot; kWh/j&quot;"/>
    <numFmt numFmtId="174" formatCode="0.00&quot; kWc&quot;"/>
    <numFmt numFmtId="175" formatCode="0.00&quot; kWh&quot;"/>
    <numFmt numFmtId="176" formatCode="#,##0&quot; FCFA&quot;"/>
    <numFmt numFmtId="177" formatCode="#,##0&quot; /Wc&quot;"/>
    <numFmt numFmtId="178" formatCode="#,##0&quot; /kWh&quot;"/>
  </numFmts>
  <fonts count="8" x14ac:knownFonts="1"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2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6" fillId="5" borderId="0" xfId="0" applyFont="1" applyFill="1"/>
    <xf numFmtId="164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4" fillId="7" borderId="0" xfId="0" applyNumberFormat="1" applyFont="1" applyFill="1" applyAlignment="1">
      <alignment horizontal="center"/>
    </xf>
    <xf numFmtId="0" fontId="2" fillId="0" borderId="0" xfId="0" quotePrefix="1" applyFont="1"/>
    <xf numFmtId="167" fontId="4" fillId="0" borderId="0" xfId="0" applyNumberFormat="1" applyFont="1" applyAlignment="1">
      <alignment horizontal="center"/>
    </xf>
    <xf numFmtId="168" fontId="4" fillId="7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9" fontId="4" fillId="0" borderId="0" xfId="0" applyNumberFormat="1" applyFont="1" applyAlignment="1">
      <alignment horizontal="center"/>
    </xf>
    <xf numFmtId="170" fontId="4" fillId="7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73" fontId="4" fillId="5" borderId="0" xfId="0" applyNumberFormat="1" applyFont="1" applyFill="1" applyAlignment="1">
      <alignment horizontal="center"/>
    </xf>
    <xf numFmtId="174" fontId="4" fillId="5" borderId="0" xfId="0" applyNumberFormat="1" applyFont="1" applyFill="1" applyAlignment="1">
      <alignment horizontal="center"/>
    </xf>
    <xf numFmtId="175" fontId="4" fillId="5" borderId="0" xfId="0" applyNumberFormat="1" applyFont="1" applyFill="1" applyAlignment="1">
      <alignment horizontal="center"/>
    </xf>
    <xf numFmtId="0" fontId="4" fillId="11" borderId="0" xfId="0" applyFont="1" applyFill="1"/>
    <xf numFmtId="0" fontId="4" fillId="11" borderId="0" xfId="0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3" fontId="4" fillId="11" borderId="0" xfId="0" applyNumberFormat="1" applyFont="1" applyFill="1" applyAlignment="1">
      <alignment horizontal="center"/>
    </xf>
    <xf numFmtId="176" fontId="3" fillId="10" borderId="0" xfId="0" applyNumberFormat="1" applyFont="1" applyFill="1" applyAlignment="1">
      <alignment horizontal="center"/>
    </xf>
    <xf numFmtId="0" fontId="7" fillId="0" borderId="0" xfId="0" applyFont="1"/>
    <xf numFmtId="177" fontId="7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4" fillId="8" borderId="0" xfId="0" applyFont="1" applyFill="1"/>
    <xf numFmtId="0" fontId="4" fillId="9" borderId="0" xfId="0" applyFont="1" applyFill="1"/>
    <xf numFmtId="0" fontId="3" fillId="10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6" borderId="0" xfId="0" applyFont="1" applyFill="1"/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9dfd99-9654-4130-8c97-02fcaf6023cd}">
  <we:reference id="WA200009404" version="1.0.0.8" store="en-US" storeType="OMEX"/>
  <we:alternateReferences/>
  <we:properties>
    <we:property name="Microsoft.Office.CampaignId" value="&quot;none&quot;"/>
    <we:property name="claude.fileId" value="&quot;9d34658d-b9be-43a5-9d83-85de9abff81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E87"/>
  <sheetViews>
    <sheetView tabSelected="1" zoomScale="115" zoomScaleNormal="115" workbookViewId="0">
      <selection activeCell="D9" sqref="D9"/>
    </sheetView>
  </sheetViews>
  <sheetFormatPr baseColWidth="10" defaultColWidth="10.625" defaultRowHeight="15.75" x14ac:dyDescent="0.25"/>
  <cols>
    <col min="1" max="1" width="46.625" customWidth="1"/>
    <col min="2" max="2" width="18.375" customWidth="1"/>
    <col min="3" max="3" width="13.375" customWidth="1"/>
    <col min="4" max="4" width="40" customWidth="1"/>
    <col min="5" max="5" width="18.375" customWidth="1"/>
  </cols>
  <sheetData>
    <row r="1" spans="1:5" ht="18.75" x14ac:dyDescent="0.3">
      <c r="A1" s="42" t="s">
        <v>0</v>
      </c>
      <c r="B1" s="42"/>
      <c r="C1" s="42"/>
      <c r="D1" s="42"/>
      <c r="E1" s="42"/>
    </row>
    <row r="2" spans="1:5" x14ac:dyDescent="0.25">
      <c r="A2" s="43" t="s">
        <v>1</v>
      </c>
      <c r="B2" s="43"/>
      <c r="C2" s="43"/>
      <c r="D2" s="43"/>
      <c r="E2" s="43"/>
    </row>
    <row r="4" spans="1:5" x14ac:dyDescent="0.25">
      <c r="A4" s="44" t="s">
        <v>2</v>
      </c>
      <c r="B4" s="44"/>
      <c r="C4" s="44"/>
      <c r="D4" s="44"/>
      <c r="E4" s="44"/>
    </row>
    <row r="5" spans="1:5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</v>
      </c>
      <c r="C6" s="6">
        <v>6</v>
      </c>
      <c r="D6" s="6">
        <v>5</v>
      </c>
      <c r="E6" s="8">
        <f t="shared" ref="E6:E13" si="0">B6*C6*D6</f>
        <v>300</v>
      </c>
    </row>
    <row r="7" spans="1:5" x14ac:dyDescent="0.25">
      <c r="A7" s="5" t="s">
        <v>9</v>
      </c>
      <c r="B7" s="6">
        <v>100</v>
      </c>
      <c r="C7" s="6">
        <v>1</v>
      </c>
      <c r="D7" s="6">
        <v>4</v>
      </c>
      <c r="E7" s="8">
        <f t="shared" si="0"/>
        <v>400</v>
      </c>
    </row>
    <row r="8" spans="1:5" x14ac:dyDescent="0.25">
      <c r="A8" s="5" t="s">
        <v>10</v>
      </c>
      <c r="B8" s="6">
        <v>150</v>
      </c>
      <c r="C8" s="6">
        <v>1</v>
      </c>
      <c r="D8" s="6">
        <v>8</v>
      </c>
      <c r="E8" s="8">
        <f t="shared" si="0"/>
        <v>1200</v>
      </c>
    </row>
    <row r="9" spans="1:5" x14ac:dyDescent="0.25">
      <c r="A9" s="5" t="s">
        <v>11</v>
      </c>
      <c r="B9" s="6">
        <v>60</v>
      </c>
      <c r="C9" s="6">
        <v>1</v>
      </c>
      <c r="D9" s="6">
        <v>4</v>
      </c>
      <c r="E9" s="8">
        <f t="shared" si="0"/>
        <v>240</v>
      </c>
    </row>
    <row r="10" spans="1:5" x14ac:dyDescent="0.25">
      <c r="A10" s="5" t="s">
        <v>12</v>
      </c>
      <c r="B10" s="6">
        <v>70</v>
      </c>
      <c r="C10" s="6">
        <v>2</v>
      </c>
      <c r="D10" s="6">
        <v>6</v>
      </c>
      <c r="E10" s="8">
        <f t="shared" si="0"/>
        <v>840</v>
      </c>
    </row>
    <row r="11" spans="1:5" x14ac:dyDescent="0.25">
      <c r="A11" s="5" t="s">
        <v>13</v>
      </c>
      <c r="B11" s="6">
        <v>500</v>
      </c>
      <c r="C11" s="6">
        <v>1</v>
      </c>
      <c r="D11" s="6">
        <v>1</v>
      </c>
      <c r="E11" s="8">
        <f t="shared" si="0"/>
        <v>500</v>
      </c>
    </row>
    <row r="12" spans="1:5" x14ac:dyDescent="0.25">
      <c r="A12" s="5" t="s">
        <v>14</v>
      </c>
      <c r="B12" s="6">
        <v>0</v>
      </c>
      <c r="C12" s="6">
        <v>0</v>
      </c>
      <c r="D12" s="6">
        <v>0</v>
      </c>
      <c r="E12" s="8">
        <f t="shared" si="0"/>
        <v>0</v>
      </c>
    </row>
    <row r="13" spans="1:5" x14ac:dyDescent="0.25">
      <c r="A13" s="5" t="s">
        <v>15</v>
      </c>
      <c r="B13" s="6">
        <v>0</v>
      </c>
      <c r="C13" s="6">
        <v>0</v>
      </c>
      <c r="D13" s="6">
        <v>0</v>
      </c>
      <c r="E13" s="8">
        <f t="shared" si="0"/>
        <v>0</v>
      </c>
    </row>
    <row r="14" spans="1:5" x14ac:dyDescent="0.25">
      <c r="A14" s="9" t="s">
        <v>16</v>
      </c>
      <c r="B14" s="10">
        <f>SUMPRODUCT(B6:B13,C6:C13)</f>
        <v>1010</v>
      </c>
      <c r="E14" s="11">
        <f>SUM(E6:E13)</f>
        <v>3480</v>
      </c>
    </row>
    <row r="16" spans="1:5" x14ac:dyDescent="0.25">
      <c r="A16" s="44" t="s">
        <v>17</v>
      </c>
      <c r="B16" s="44"/>
      <c r="C16" s="44"/>
      <c r="D16" s="44"/>
      <c r="E16" s="44"/>
    </row>
    <row r="17" spans="1:5" x14ac:dyDescent="0.25">
      <c r="A17" s="3" t="s">
        <v>18</v>
      </c>
      <c r="B17" s="4" t="s">
        <v>19</v>
      </c>
      <c r="C17" s="4" t="s">
        <v>20</v>
      </c>
      <c r="D17" s="3" t="s">
        <v>21</v>
      </c>
    </row>
    <row r="18" spans="1:5" x14ac:dyDescent="0.25">
      <c r="A18" t="s">
        <v>22</v>
      </c>
      <c r="B18" s="12">
        <v>4.5</v>
      </c>
      <c r="C18" s="7" t="s">
        <v>23</v>
      </c>
      <c r="D18" s="1" t="s">
        <v>24</v>
      </c>
    </row>
    <row r="19" spans="1:5" x14ac:dyDescent="0.25">
      <c r="A19" t="s">
        <v>25</v>
      </c>
      <c r="B19" s="6">
        <v>24</v>
      </c>
      <c r="C19" s="7" t="s">
        <v>26</v>
      </c>
      <c r="D19" s="1" t="s">
        <v>27</v>
      </c>
    </row>
    <row r="20" spans="1:5" x14ac:dyDescent="0.25">
      <c r="A20" t="s">
        <v>28</v>
      </c>
      <c r="B20" s="6">
        <v>2</v>
      </c>
      <c r="C20" s="7" t="s">
        <v>29</v>
      </c>
      <c r="D20" s="1" t="s">
        <v>30</v>
      </c>
    </row>
    <row r="21" spans="1:5" x14ac:dyDescent="0.25">
      <c r="A21" t="s">
        <v>31</v>
      </c>
      <c r="B21" s="13">
        <v>0.9</v>
      </c>
      <c r="C21" s="7" t="s">
        <v>32</v>
      </c>
      <c r="D21" s="1" t="s">
        <v>33</v>
      </c>
    </row>
    <row r="22" spans="1:5" x14ac:dyDescent="0.25">
      <c r="A22" t="s">
        <v>34</v>
      </c>
      <c r="B22" s="13">
        <v>0.85</v>
      </c>
      <c r="C22" s="7" t="s">
        <v>32</v>
      </c>
      <c r="D22" s="1" t="s">
        <v>35</v>
      </c>
    </row>
    <row r="23" spans="1:5" x14ac:dyDescent="0.25">
      <c r="A23" t="s">
        <v>36</v>
      </c>
      <c r="B23" s="13">
        <v>0.95</v>
      </c>
      <c r="C23" s="7" t="s">
        <v>32</v>
      </c>
      <c r="D23" s="1" t="s">
        <v>37</v>
      </c>
    </row>
    <row r="24" spans="1:5" x14ac:dyDescent="0.25">
      <c r="A24" t="s">
        <v>38</v>
      </c>
      <c r="B24" s="13">
        <v>0.5</v>
      </c>
      <c r="C24" s="7" t="s">
        <v>32</v>
      </c>
      <c r="D24" s="1" t="s">
        <v>39</v>
      </c>
    </row>
    <row r="25" spans="1:5" x14ac:dyDescent="0.25">
      <c r="A25" t="s">
        <v>40</v>
      </c>
      <c r="B25" s="13">
        <v>0.85</v>
      </c>
      <c r="C25" s="7" t="s">
        <v>32</v>
      </c>
      <c r="D25" s="1" t="s">
        <v>41</v>
      </c>
    </row>
    <row r="27" spans="1:5" x14ac:dyDescent="0.25">
      <c r="A27" s="44" t="s">
        <v>42</v>
      </c>
      <c r="B27" s="44"/>
      <c r="C27" s="44"/>
      <c r="D27" s="44"/>
      <c r="E27" s="44"/>
    </row>
    <row r="28" spans="1:5" x14ac:dyDescent="0.25">
      <c r="A28" s="3" t="s">
        <v>43</v>
      </c>
      <c r="B28" s="4" t="s">
        <v>19</v>
      </c>
      <c r="C28" s="4" t="s">
        <v>20</v>
      </c>
    </row>
    <row r="29" spans="1:5" x14ac:dyDescent="0.25">
      <c r="A29" t="s">
        <v>44</v>
      </c>
      <c r="B29" s="6">
        <v>300</v>
      </c>
      <c r="C29" s="7" t="s">
        <v>45</v>
      </c>
    </row>
    <row r="30" spans="1:5" x14ac:dyDescent="0.25">
      <c r="A30" t="s">
        <v>46</v>
      </c>
      <c r="B30" s="6">
        <v>36</v>
      </c>
      <c r="C30" s="7" t="s">
        <v>26</v>
      </c>
    </row>
    <row r="31" spans="1:5" x14ac:dyDescent="0.25">
      <c r="A31" t="s">
        <v>47</v>
      </c>
      <c r="B31" s="14">
        <v>8.33</v>
      </c>
      <c r="C31" s="7" t="s">
        <v>48</v>
      </c>
    </row>
    <row r="32" spans="1:5" x14ac:dyDescent="0.25">
      <c r="A32" t="s">
        <v>49</v>
      </c>
      <c r="B32" s="6">
        <v>200</v>
      </c>
      <c r="C32" s="7" t="s">
        <v>50</v>
      </c>
    </row>
    <row r="33" spans="1:5" x14ac:dyDescent="0.25">
      <c r="A33" t="s">
        <v>51</v>
      </c>
      <c r="B33" s="6">
        <v>12</v>
      </c>
      <c r="C33" s="7" t="s">
        <v>26</v>
      </c>
    </row>
    <row r="35" spans="1:5" x14ac:dyDescent="0.25">
      <c r="A35" s="45" t="s">
        <v>52</v>
      </c>
      <c r="B35" s="45"/>
      <c r="C35" s="45"/>
      <c r="D35" s="45"/>
      <c r="E35" s="45"/>
    </row>
    <row r="36" spans="1:5" x14ac:dyDescent="0.25">
      <c r="A36" s="2" t="s">
        <v>53</v>
      </c>
      <c r="B36" s="15">
        <f>E14/(B21*B22*B23)</f>
        <v>4788.4416924664602</v>
      </c>
      <c r="D36" s="16" t="s">
        <v>54</v>
      </c>
    </row>
    <row r="38" spans="1:5" x14ac:dyDescent="0.25">
      <c r="A38" s="39" t="s">
        <v>55</v>
      </c>
      <c r="B38" s="39"/>
      <c r="C38" s="39"/>
      <c r="D38" s="39"/>
      <c r="E38" s="39"/>
    </row>
    <row r="39" spans="1:5" x14ac:dyDescent="0.25">
      <c r="A39" t="s">
        <v>56</v>
      </c>
      <c r="B39" s="17">
        <f>B36/(B18*B25)</f>
        <v>1251.8801810369832</v>
      </c>
      <c r="D39" s="16" t="s">
        <v>57</v>
      </c>
    </row>
    <row r="40" spans="1:5" x14ac:dyDescent="0.25">
      <c r="A40" t="s">
        <v>58</v>
      </c>
      <c r="B40" s="18">
        <f>ROUNDUP(B39/B29,0)</f>
        <v>5</v>
      </c>
    </row>
    <row r="41" spans="1:5" x14ac:dyDescent="0.25">
      <c r="A41" t="s">
        <v>59</v>
      </c>
      <c r="B41" s="19">
        <f>ROUNDUP(B19/B30,0)</f>
        <v>1</v>
      </c>
      <c r="D41" s="16" t="s">
        <v>60</v>
      </c>
    </row>
    <row r="42" spans="1:5" x14ac:dyDescent="0.25">
      <c r="A42" t="s">
        <v>61</v>
      </c>
      <c r="B42" s="19">
        <f>ROUNDUP(B40/B41,0)</f>
        <v>5</v>
      </c>
    </row>
    <row r="43" spans="1:5" x14ac:dyDescent="0.25">
      <c r="A43" t="s">
        <v>62</v>
      </c>
      <c r="B43" s="20">
        <f>B40*B29</f>
        <v>1500</v>
      </c>
    </row>
    <row r="45" spans="1:5" x14ac:dyDescent="0.25">
      <c r="A45" s="39" t="s">
        <v>63</v>
      </c>
      <c r="B45" s="39"/>
      <c r="C45" s="39"/>
      <c r="D45" s="39"/>
      <c r="E45" s="39"/>
    </row>
    <row r="46" spans="1:5" x14ac:dyDescent="0.25">
      <c r="A46" t="s">
        <v>64</v>
      </c>
      <c r="B46" s="21">
        <f>(E14*B20)/(B19*B24*B22)</f>
        <v>682.35294117647061</v>
      </c>
      <c r="D46" s="16" t="s">
        <v>65</v>
      </c>
    </row>
    <row r="47" spans="1:5" x14ac:dyDescent="0.25">
      <c r="A47" t="s">
        <v>66</v>
      </c>
      <c r="B47" s="19">
        <f>ROUNDUP(B19/B33,0)</f>
        <v>2</v>
      </c>
    </row>
    <row r="48" spans="1:5" x14ac:dyDescent="0.25">
      <c r="A48" t="s">
        <v>67</v>
      </c>
      <c r="B48" s="19">
        <f>ROUNDUP(B46/B32,0)</f>
        <v>4</v>
      </c>
    </row>
    <row r="49" spans="1:5" x14ac:dyDescent="0.25">
      <c r="A49" t="s">
        <v>68</v>
      </c>
      <c r="B49" s="22">
        <f>B47*B48</f>
        <v>8</v>
      </c>
    </row>
    <row r="50" spans="1:5" x14ac:dyDescent="0.25">
      <c r="A50" t="s">
        <v>69</v>
      </c>
      <c r="B50" s="23">
        <f>B48*B32</f>
        <v>800</v>
      </c>
    </row>
    <row r="51" spans="1:5" x14ac:dyDescent="0.25">
      <c r="A51" t="s">
        <v>70</v>
      </c>
      <c r="B51" s="24">
        <f>B50*B19*B24/1000</f>
        <v>9.6</v>
      </c>
    </row>
    <row r="53" spans="1:5" x14ac:dyDescent="0.25">
      <c r="A53" s="39" t="s">
        <v>71</v>
      </c>
      <c r="B53" s="39"/>
      <c r="C53" s="39"/>
      <c r="D53" s="39"/>
      <c r="E53" s="39"/>
    </row>
    <row r="54" spans="1:5" x14ac:dyDescent="0.25">
      <c r="A54" t="s">
        <v>72</v>
      </c>
      <c r="B54" s="25">
        <f>B42*B31*1.25</f>
        <v>52.0625</v>
      </c>
      <c r="D54" s="16" t="s">
        <v>73</v>
      </c>
    </row>
    <row r="55" spans="1:5" x14ac:dyDescent="0.25">
      <c r="A55" t="s">
        <v>74</v>
      </c>
      <c r="B55" s="26">
        <f>B14*1.25</f>
        <v>1262.5</v>
      </c>
      <c r="D55" s="16" t="s">
        <v>75</v>
      </c>
    </row>
    <row r="57" spans="1:5" x14ac:dyDescent="0.25">
      <c r="A57" s="40" t="s">
        <v>76</v>
      </c>
      <c r="B57" s="40"/>
      <c r="C57" s="40"/>
      <c r="D57" s="40"/>
      <c r="E57" s="40"/>
    </row>
    <row r="58" spans="1:5" x14ac:dyDescent="0.25">
      <c r="A58" s="2" t="s">
        <v>77</v>
      </c>
      <c r="B58" s="27">
        <f>E14/1000</f>
        <v>3.48</v>
      </c>
    </row>
    <row r="59" spans="1:5" x14ac:dyDescent="0.25">
      <c r="A59" s="2" t="s">
        <v>78</v>
      </c>
      <c r="B59" s="28">
        <f>B43/1000</f>
        <v>1.5</v>
      </c>
    </row>
    <row r="60" spans="1:5" x14ac:dyDescent="0.25">
      <c r="A60" s="2" t="s">
        <v>79</v>
      </c>
      <c r="B60" s="29">
        <f>B51</f>
        <v>9.6</v>
      </c>
    </row>
    <row r="61" spans="1:5" x14ac:dyDescent="0.25">
      <c r="A61" s="2" t="s">
        <v>80</v>
      </c>
      <c r="B61" s="27">
        <f>B43*B18*B25/1000</f>
        <v>5.7374999999999998</v>
      </c>
    </row>
    <row r="63" spans="1:5" x14ac:dyDescent="0.25">
      <c r="A63" s="41" t="s">
        <v>81</v>
      </c>
      <c r="B63" s="41"/>
      <c r="C63" s="41"/>
      <c r="D63" s="41"/>
      <c r="E63" s="41"/>
    </row>
    <row r="64" spans="1:5" x14ac:dyDescent="0.25">
      <c r="A64" s="30" t="s">
        <v>82</v>
      </c>
      <c r="B64" s="31" t="s">
        <v>5</v>
      </c>
      <c r="C64" s="31" t="s">
        <v>20</v>
      </c>
      <c r="D64" s="31" t="s">
        <v>83</v>
      </c>
      <c r="E64" s="31" t="s">
        <v>84</v>
      </c>
    </row>
    <row r="65" spans="1:5" x14ac:dyDescent="0.25">
      <c r="A65" t="s">
        <v>85</v>
      </c>
      <c r="B65" s="38">
        <f>B40</f>
        <v>5</v>
      </c>
      <c r="C65" s="7" t="s">
        <v>86</v>
      </c>
      <c r="D65" s="32">
        <v>45000</v>
      </c>
      <c r="E65" s="8">
        <f>B65*D65</f>
        <v>225000</v>
      </c>
    </row>
    <row r="66" spans="1:5" x14ac:dyDescent="0.25">
      <c r="A66" t="s">
        <v>87</v>
      </c>
      <c r="B66" s="46">
        <f>B49</f>
        <v>8</v>
      </c>
      <c r="C66" s="7" t="s">
        <v>88</v>
      </c>
      <c r="D66" s="32">
        <v>100000</v>
      </c>
      <c r="E66" s="8">
        <f t="shared" ref="E65:E78" si="1">B66*D66</f>
        <v>800000</v>
      </c>
    </row>
    <row r="67" spans="1:5" x14ac:dyDescent="0.25">
      <c r="A67" t="s">
        <v>89</v>
      </c>
      <c r="B67" s="7">
        <v>1</v>
      </c>
      <c r="C67" s="7" t="s">
        <v>90</v>
      </c>
      <c r="D67" s="32">
        <v>250000</v>
      </c>
      <c r="E67" s="8">
        <f t="shared" si="1"/>
        <v>250000</v>
      </c>
    </row>
    <row r="68" spans="1:5" x14ac:dyDescent="0.25">
      <c r="A68" t="s">
        <v>91</v>
      </c>
      <c r="B68" s="7">
        <v>1</v>
      </c>
      <c r="C68" s="7" t="s">
        <v>90</v>
      </c>
      <c r="D68" s="32">
        <v>150000</v>
      </c>
      <c r="E68" s="8">
        <f t="shared" si="1"/>
        <v>150000</v>
      </c>
    </row>
    <row r="69" spans="1:5" x14ac:dyDescent="0.25">
      <c r="A69" t="s">
        <v>92</v>
      </c>
      <c r="B69" s="7">
        <f>B40</f>
        <v>5</v>
      </c>
      <c r="C69" s="7" t="s">
        <v>86</v>
      </c>
      <c r="D69" s="32">
        <v>20000</v>
      </c>
      <c r="E69" s="8">
        <f t="shared" si="1"/>
        <v>100000</v>
      </c>
    </row>
    <row r="70" spans="1:5" x14ac:dyDescent="0.25">
      <c r="A70" t="s">
        <v>93</v>
      </c>
      <c r="B70" s="6">
        <v>50</v>
      </c>
      <c r="C70" s="7" t="s">
        <v>94</v>
      </c>
      <c r="D70" s="32">
        <v>1500</v>
      </c>
      <c r="E70" s="8">
        <f t="shared" si="1"/>
        <v>75000</v>
      </c>
    </row>
    <row r="71" spans="1:5" x14ac:dyDescent="0.25">
      <c r="A71" t="s">
        <v>95</v>
      </c>
      <c r="B71" s="6">
        <v>30</v>
      </c>
      <c r="C71" s="7" t="s">
        <v>94</v>
      </c>
      <c r="D71" s="32">
        <v>1000</v>
      </c>
      <c r="E71" s="8">
        <f t="shared" si="1"/>
        <v>30000</v>
      </c>
    </row>
    <row r="72" spans="1:5" x14ac:dyDescent="0.25">
      <c r="A72" t="s">
        <v>96</v>
      </c>
      <c r="B72" s="7">
        <f>B40*2</f>
        <v>10</v>
      </c>
      <c r="C72" s="7" t="s">
        <v>97</v>
      </c>
      <c r="D72" s="32">
        <v>2500</v>
      </c>
      <c r="E72" s="8">
        <f t="shared" si="1"/>
        <v>25000</v>
      </c>
    </row>
    <row r="73" spans="1:5" x14ac:dyDescent="0.25">
      <c r="A73" t="s">
        <v>98</v>
      </c>
      <c r="B73" s="7">
        <v>1</v>
      </c>
      <c r="C73" s="7" t="s">
        <v>90</v>
      </c>
      <c r="D73" s="32">
        <v>80000</v>
      </c>
      <c r="E73" s="8">
        <f t="shared" si="1"/>
        <v>80000</v>
      </c>
    </row>
    <row r="74" spans="1:5" x14ac:dyDescent="0.25">
      <c r="A74" t="s">
        <v>99</v>
      </c>
      <c r="B74" s="7">
        <v>1</v>
      </c>
      <c r="C74" s="7" t="s">
        <v>90</v>
      </c>
      <c r="D74" s="32">
        <v>60000</v>
      </c>
      <c r="E74" s="8">
        <f t="shared" si="1"/>
        <v>60000</v>
      </c>
    </row>
    <row r="75" spans="1:5" x14ac:dyDescent="0.25">
      <c r="A75" t="s">
        <v>100</v>
      </c>
      <c r="B75" s="7">
        <v>1</v>
      </c>
      <c r="C75" s="7" t="s">
        <v>101</v>
      </c>
      <c r="D75" s="32">
        <v>35000</v>
      </c>
      <c r="E75" s="8">
        <f t="shared" si="1"/>
        <v>35000</v>
      </c>
    </row>
    <row r="76" spans="1:5" x14ac:dyDescent="0.25">
      <c r="A76" t="s">
        <v>102</v>
      </c>
      <c r="B76" s="7">
        <v>1</v>
      </c>
      <c r="C76" s="7" t="s">
        <v>101</v>
      </c>
      <c r="D76" s="32">
        <v>40000</v>
      </c>
      <c r="E76" s="8">
        <f t="shared" si="1"/>
        <v>40000</v>
      </c>
    </row>
    <row r="77" spans="1:5" x14ac:dyDescent="0.25">
      <c r="A77" t="s">
        <v>103</v>
      </c>
      <c r="B77" s="7">
        <v>1</v>
      </c>
      <c r="C77" s="7" t="s">
        <v>90</v>
      </c>
      <c r="D77" s="32">
        <v>75000</v>
      </c>
      <c r="E77" s="8">
        <f t="shared" si="1"/>
        <v>75000</v>
      </c>
    </row>
    <row r="78" spans="1:5" x14ac:dyDescent="0.25">
      <c r="A78" t="s">
        <v>104</v>
      </c>
      <c r="B78" s="7">
        <v>1</v>
      </c>
      <c r="C78" s="7" t="s">
        <v>105</v>
      </c>
      <c r="D78" s="32">
        <v>30000</v>
      </c>
      <c r="E78" s="8">
        <f t="shared" si="1"/>
        <v>30000</v>
      </c>
    </row>
    <row r="80" spans="1:5" x14ac:dyDescent="0.25">
      <c r="A80" s="30" t="s">
        <v>106</v>
      </c>
      <c r="E80" s="33">
        <f>SUM(E65:E78)</f>
        <v>1975000</v>
      </c>
    </row>
    <row r="81" spans="1:5" x14ac:dyDescent="0.25">
      <c r="A81" t="s">
        <v>107</v>
      </c>
      <c r="B81" s="13">
        <v>0.15</v>
      </c>
      <c r="C81" s="7" t="s">
        <v>108</v>
      </c>
      <c r="E81" s="8">
        <f>E80*B81</f>
        <v>296250</v>
      </c>
    </row>
    <row r="82" spans="1:5" x14ac:dyDescent="0.25">
      <c r="A82" t="s">
        <v>109</v>
      </c>
      <c r="B82" s="13">
        <v>0.03</v>
      </c>
      <c r="C82" s="7" t="s">
        <v>108</v>
      </c>
      <c r="E82" s="8">
        <f>E80*B82</f>
        <v>59250</v>
      </c>
    </row>
    <row r="83" spans="1:5" x14ac:dyDescent="0.25">
      <c r="A83" t="s">
        <v>110</v>
      </c>
      <c r="B83" s="13">
        <v>0.05</v>
      </c>
      <c r="C83" s="7" t="s">
        <v>108</v>
      </c>
      <c r="E83" s="8">
        <f>E80*B83</f>
        <v>98750</v>
      </c>
    </row>
    <row r="85" spans="1:5" x14ac:dyDescent="0.25">
      <c r="A85" s="41" t="s">
        <v>111</v>
      </c>
      <c r="B85" s="41"/>
      <c r="C85" s="41"/>
      <c r="D85" s="41"/>
      <c r="E85" s="34">
        <f>E80+E81+E82+E83</f>
        <v>2429250</v>
      </c>
    </row>
    <row r="86" spans="1:5" x14ac:dyDescent="0.25">
      <c r="A86" s="35" t="s">
        <v>112</v>
      </c>
      <c r="E86" s="36">
        <f>E85/B43</f>
        <v>1619.5</v>
      </c>
    </row>
    <row r="87" spans="1:5" x14ac:dyDescent="0.25">
      <c r="A87" s="35" t="s">
        <v>113</v>
      </c>
      <c r="E87" s="37">
        <f>E85/B61</f>
        <v>423398.69281045755</v>
      </c>
    </row>
  </sheetData>
  <mergeCells count="12">
    <mergeCell ref="A85:D85"/>
    <mergeCell ref="A1:E1"/>
    <mergeCell ref="A2:E2"/>
    <mergeCell ref="A4:E4"/>
    <mergeCell ref="A16:E16"/>
    <mergeCell ref="A27:E27"/>
    <mergeCell ref="A35:E35"/>
    <mergeCell ref="A38:E38"/>
    <mergeCell ref="A45:E45"/>
    <mergeCell ref="A53:E53"/>
    <mergeCell ref="A57:E57"/>
    <mergeCell ref="A63:E6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Nhel</cp:lastModifiedBy>
  <dcterms:created xsi:type="dcterms:W3CDTF">2018-06-07T17:34:22Z</dcterms:created>
  <dcterms:modified xsi:type="dcterms:W3CDTF">2026-06-23T09:29:44Z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